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"/>
    </mc:Choice>
  </mc:AlternateContent>
  <xr:revisionPtr revIDLastSave="0" documentId="13_ncr:1_{0DA5335C-585B-43AC-8D72-40655FC3EBB9}" xr6:coauthVersionLast="47" xr6:coauthVersionMax="47" xr10:uidLastSave="{00000000-0000-0000-0000-000000000000}"/>
  <bookViews>
    <workbookView xWindow="-120" yWindow="-120" windowWidth="29040" windowHeight="17790" xr2:uid="{765DD9B9-491F-413F-8A77-D7A865C573AA}"/>
  </bookViews>
  <sheets>
    <sheet name="Individual" sheetId="1" r:id="rId1"/>
    <sheet name="T-K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" l="1" a="1"/>
  <c r="H4" i="1" s="1"/>
  <c r="F4" i="2"/>
  <c r="F8" i="2"/>
  <c r="F12" i="2"/>
  <c r="F16" i="2"/>
  <c r="F20" i="2"/>
  <c r="F24" i="2"/>
  <c r="F28" i="2"/>
  <c r="F32" i="2"/>
  <c r="F36" i="2"/>
  <c r="F40" i="2"/>
  <c r="F44" i="2"/>
  <c r="F48" i="2"/>
  <c r="F52" i="2"/>
  <c r="F56" i="2"/>
  <c r="F60" i="2"/>
  <c r="K12" i="1"/>
  <c r="K13" i="1"/>
  <c r="K1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<sst xmlns="http://schemas.openxmlformats.org/spreadsheetml/2006/main" count="42" uniqueCount="37">
  <si>
    <t>NAME</t>
  </si>
  <si>
    <t>EVENT</t>
  </si>
  <si>
    <t>AMOUNT</t>
  </si>
  <si>
    <t>WEIGHT (kg)</t>
  </si>
  <si>
    <t>AGE CTGRY</t>
  </si>
  <si>
    <t>Association Details</t>
  </si>
  <si>
    <t>District :</t>
  </si>
  <si>
    <t>Province :</t>
  </si>
  <si>
    <t>Association Name :</t>
  </si>
  <si>
    <t>Instructor Name :</t>
  </si>
  <si>
    <t>Whatsapp No:</t>
  </si>
  <si>
    <t>Player Summary</t>
  </si>
  <si>
    <t>Total Player Count :</t>
  </si>
  <si>
    <t>Total Payment :</t>
  </si>
  <si>
    <t>** Fill All the Colomn Details and Correctly**</t>
  </si>
  <si>
    <t>Team count:</t>
  </si>
  <si>
    <t>P.CNT</t>
  </si>
  <si>
    <t>PAYMENT &amp; OTHER DETAILS</t>
  </si>
  <si>
    <t>GENDER</t>
  </si>
  <si>
    <t>Association Reg. No :</t>
  </si>
  <si>
    <t>SLKF/AFF/</t>
  </si>
  <si>
    <t>OPEN KARATE COMPETITION 2026</t>
  </si>
  <si>
    <t>Un 14/Cadet/Junior/Un 21 and Senior</t>
  </si>
  <si>
    <t>#</t>
  </si>
  <si>
    <t>AGE GROUP</t>
  </si>
  <si>
    <t>විශේෂ නිවේදනයයි</t>
  </si>
  <si>
    <t xml:space="preserve">මෙම Excel Sheet එක පිරවීමේදී තරග පත්‍රිකාවට අනුව තරග ඉසව් හා බර පංති ඇතුලත් කරන්න. </t>
  </si>
  <si>
    <t>මෙම Excel Sheet එක කිසිඳු ආකාරයේ වෙනස් කිරීමක් සිදු නොකරන්න</t>
  </si>
  <si>
    <t>මෙම Excel Sheet එක 0772931628 අංකයට Whatsapp මගින් එවීමට කටයුතු කරන්න</t>
  </si>
  <si>
    <t>Special announcement</t>
  </si>
  <si>
    <t>When filling out this Excel sheet, enter the competition events and weight classes according to the competition sheet.</t>
  </si>
  <si>
    <t>Do not make any changes to this Excel sheet.</t>
  </si>
  <si>
    <t>Please send this Excel sheet to 0772931628 via Whatsapp.</t>
  </si>
  <si>
    <t>DATE OF BIRTH</t>
  </si>
  <si>
    <t>U 14/Cadet/Junior/U 21 and Senior</t>
  </si>
  <si>
    <t>ක්‍රීඩක ක්‍රීඩිකාවන්ගෙ වයස ගණනය කරනු ලබන්නේ. 2026.07.17 දිනට වේ.</t>
  </si>
  <si>
    <t>Athlete age eligibility will be determined as of July 17,2026.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</si>
</sst>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' Mono Bold"/>
    </font>
    <font>
      <sz val="34"/>
      <color theme="1"/>
      <name val="' Mono Bold"/>
    </font>
    <font>
      <b/>
      <sz val="12"/>
      <color theme="1"/>
      <name val="Calibri"/>
      <family val="2"/>
      <scheme val="minor"/>
    </font>
    <font>
      <sz val="26"/>
      <color theme="1"/>
      <name val="' Mono Bold"/>
    </font>
    <font>
      <sz val="20"/>
      <color theme="1"/>
      <name val="' Mono Bold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Inherit"/>
    </font>
    <font>
      <b/>
      <sz val="7.5"/>
      <name val="Inherit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 applyProtection="1">
      <alignment horizontal="right" vertical="center"/>
      <protection hidden="1"/>
    </xf>
    <xf numFmtId="0" fontId="1" fillId="2" borderId="1" xfId="0" applyFont="1" applyFill="1" applyBorder="1" applyAlignment="1" applyProtection="1">
      <alignment horizontal="right" vertical="center"/>
      <protection hidden="1"/>
    </xf>
    <xf numFmtId="0" fontId="1" fillId="2" borderId="1" xfId="0" applyFont="1" applyFill="1" applyBorder="1" applyAlignment="1" applyProtection="1">
      <alignment vertical="center"/>
      <protection hidden="1"/>
    </xf>
    <xf numFmtId="0" fontId="0" fillId="4" borderId="0" xfId="0" applyFill="1" applyProtection="1">
      <protection hidden="1"/>
    </xf>
    <xf numFmtId="0" fontId="0" fillId="4" borderId="0" xfId="0" applyFill="1" applyAlignment="1" applyProtection="1">
      <alignment horizontal="left" vertical="center"/>
      <protection hidden="1"/>
    </xf>
    <xf numFmtId="0" fontId="0" fillId="4" borderId="0" xfId="0" applyFill="1" applyAlignment="1" applyProtection="1">
      <alignment horizontal="right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0" xfId="0" applyFill="1" applyBorder="1" applyAlignment="1" applyProtection="1">
      <alignment horizontal="right" vertical="center"/>
      <protection hidden="1"/>
    </xf>
    <xf numFmtId="0" fontId="0" fillId="4" borderId="0" xfId="0" applyFill="1" applyBorder="1" applyProtection="1">
      <protection hidden="1"/>
    </xf>
    <xf numFmtId="0" fontId="0" fillId="4" borderId="0" xfId="0" applyFill="1" applyBorder="1" applyAlignment="1" applyProtection="1">
      <alignment horizontal="center" vertical="center"/>
      <protection hidden="1"/>
    </xf>
    <xf numFmtId="0" fontId="0" fillId="4" borderId="0" xfId="0" applyFill="1" applyBorder="1" applyAlignment="1" applyProtection="1">
      <alignment horizontal="left" vertical="center"/>
      <protection hidden="1"/>
    </xf>
    <xf numFmtId="0" fontId="0" fillId="4" borderId="0" xfId="0" applyFill="1" applyBorder="1" applyAlignment="1" applyProtection="1">
      <alignment horizontal="right"/>
      <protection hidden="1"/>
    </xf>
    <xf numFmtId="0" fontId="0" fillId="0" borderId="2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0" xfId="0" applyFill="1" applyProtection="1"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left" vertical="center"/>
    </xf>
    <xf numFmtId="0" fontId="1" fillId="0" borderId="1" xfId="0" applyFont="1" applyFill="1" applyBorder="1" applyProtection="1"/>
    <xf numFmtId="0" fontId="0" fillId="0" borderId="1" xfId="0" applyFill="1" applyBorder="1" applyProtection="1">
      <protection locked="0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4" fillId="5" borderId="6" xfId="0" applyFont="1" applyFill="1" applyBorder="1" applyAlignment="1" applyProtection="1">
      <alignment horizontal="center"/>
      <protection hidden="1"/>
    </xf>
    <xf numFmtId="0" fontId="10" fillId="4" borderId="0" xfId="0" applyFont="1" applyFill="1" applyBorder="1" applyAlignment="1" applyProtection="1">
      <alignment vertical="center"/>
      <protection hidden="1"/>
    </xf>
    <xf numFmtId="0" fontId="11" fillId="4" borderId="0" xfId="0" applyFont="1" applyFill="1" applyBorder="1" applyAlignment="1" applyProtection="1">
      <protection hidden="1"/>
    </xf>
    <xf numFmtId="0" fontId="1" fillId="2" borderId="0" xfId="0" applyFont="1" applyFill="1" applyBorder="1" applyAlignment="1" applyProtection="1">
      <protection hidden="1"/>
    </xf>
    <xf numFmtId="0" fontId="1" fillId="2" borderId="0" xfId="0" applyFont="1" applyFill="1" applyBorder="1" applyProtection="1">
      <protection hidden="1"/>
    </xf>
    <xf numFmtId="0" fontId="0" fillId="0" borderId="0" xfId="0" applyNumberFormat="1" applyAlignment="1" applyProtection="1">
      <alignment horizontal="left" vertical="center"/>
      <protection locked="0"/>
    </xf>
    <xf numFmtId="0" fontId="7" fillId="6" borderId="0" xfId="0" applyFont="1" applyFill="1" applyBorder="1" applyAlignment="1" applyProtection="1">
      <alignment horizontal="center" vertical="center"/>
      <protection hidden="1"/>
    </xf>
    <xf numFmtId="0" fontId="4" fillId="5" borderId="3" xfId="0" applyFont="1" applyFill="1" applyBorder="1" applyAlignment="1" applyProtection="1">
      <alignment horizontal="left" vertical="center"/>
      <protection hidden="1"/>
    </xf>
    <xf numFmtId="0" fontId="5" fillId="5" borderId="4" xfId="0" applyFont="1" applyFill="1" applyBorder="1" applyAlignment="1" applyProtection="1">
      <alignment horizontal="left" vertical="center"/>
      <protection hidden="1"/>
    </xf>
    <xf numFmtId="0" fontId="1" fillId="3" borderId="3" xfId="0" applyFont="1" applyFill="1" applyBorder="1" applyAlignment="1" applyProtection="1">
      <alignment horizontal="left" vertical="center"/>
      <protection hidden="1"/>
    </xf>
    <xf numFmtId="0" fontId="1" fillId="3" borderId="4" xfId="0" applyFont="1" applyFill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4" borderId="2" xfId="0" applyFont="1" applyFill="1" applyBorder="1" applyAlignment="1" applyProtection="1">
      <alignment horizontal="center"/>
      <protection hidden="1"/>
    </xf>
    <xf numFmtId="0" fontId="8" fillId="6" borderId="0" xfId="0" applyFont="1" applyFill="1" applyBorder="1" applyAlignment="1" applyProtection="1">
      <alignment horizontal="center"/>
      <protection hidden="1"/>
    </xf>
    <xf numFmtId="0" fontId="12" fillId="2" borderId="0" xfId="0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left"/>
      <protection hidden="1"/>
    </xf>
    <xf numFmtId="0" fontId="13" fillId="2" borderId="0" xfId="0" applyFont="1" applyFill="1" applyAlignment="1" applyProtection="1">
      <alignment horizontal="left"/>
      <protection hidden="1"/>
    </xf>
    <xf numFmtId="0" fontId="14" fillId="2" borderId="0" xfId="0" applyFont="1" applyFill="1" applyAlignment="1" applyProtection="1">
      <alignment horizontal="left"/>
      <protection hidden="1"/>
    </xf>
    <xf numFmtId="0" fontId="12" fillId="2" borderId="0" xfId="0" applyFont="1" applyFill="1" applyAlignment="1" applyProtection="1">
      <alignment horizontal="center"/>
      <protection hidden="1"/>
    </xf>
    <xf numFmtId="0" fontId="16" fillId="2" borderId="0" xfId="0" applyFont="1" applyFill="1" applyAlignment="1" applyProtection="1">
      <alignment horizontal="left" vertical="center"/>
      <protection hidden="1"/>
    </xf>
    <xf numFmtId="0" fontId="15" fillId="2" borderId="0" xfId="0" applyFont="1" applyFill="1" applyAlignment="1" applyProtection="1">
      <alignment horizontal="left" vertical="center"/>
      <protection hidden="1"/>
    </xf>
    <xf numFmtId="0" fontId="0" fillId="0" borderId="5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5" xfId="0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0" fillId="0" borderId="2" xfId="0" applyFill="1" applyBorder="1" applyAlignment="1" applyProtection="1">
      <alignment horizontal="center" vertical="center"/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8" fillId="0" borderId="2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4BC8-6F38-4AEC-8A0B-FF7AD8792648}">
  <dimension ref="A1:L104"/>
  <sheetViews>
    <sheetView tabSelected="1" zoomScale="120" zoomScaleNormal="120" workbookViewId="0">
      <selection activeCell="B4" sqref="B4"/>
    </sheetView>
  </sheetViews>
  <sheetFormatPr defaultRowHeight="15"/>
  <cols>
    <col min="1" max="1" width="4.28515625" style="13" customWidth="1"/>
    <col min="2" max="2" width="43.7109375" style="9" customWidth="1"/>
    <col min="3" max="3" width="13.85546875" style="9" customWidth="1"/>
    <col min="4" max="5" width="12.7109375" style="10" customWidth="1"/>
    <col min="6" max="6" width="11.42578125" style="10" customWidth="1"/>
    <col min="7" max="7" width="12.85546875" style="10" customWidth="1"/>
    <col min="8" max="8" width="12" style="11" customWidth="1"/>
    <col min="9" max="9" width="8.42578125" style="9" customWidth="1"/>
    <col min="10" max="10" width="27.42578125" style="9" customWidth="1"/>
    <col min="11" max="11" width="46" style="9" customWidth="1"/>
    <col min="12" max="12" width="12.42578125" style="9" customWidth="1"/>
    <col min="13" max="13" width="9.140625" style="9"/>
    <col min="14" max="14" width="39.7109375" style="9" customWidth="1"/>
    <col min="15" max="15" width="18.85546875" style="9" customWidth="1"/>
    <col min="16" max="16" width="13.5703125" style="9" customWidth="1"/>
    <col min="17" max="16384" width="9.140625" style="9"/>
  </cols>
  <sheetData>
    <row r="1" spans="1:11" ht="45" customHeight="1">
      <c r="A1" s="36" t="s">
        <v>21</v>
      </c>
      <c r="B1" s="36"/>
      <c r="C1" s="36"/>
      <c r="D1" s="36"/>
      <c r="E1" s="36"/>
      <c r="F1" s="36"/>
      <c r="G1" s="36"/>
      <c r="H1" s="36"/>
    </row>
    <row r="2" spans="1:11" ht="18.75" customHeight="1">
      <c r="A2" s="43" t="s">
        <v>34</v>
      </c>
      <c r="B2" s="43"/>
      <c r="C2" s="43"/>
      <c r="D2" s="43"/>
      <c r="E2" s="43"/>
      <c r="F2" s="43"/>
      <c r="G2" s="43"/>
      <c r="H2" s="43"/>
      <c r="J2" s="42" t="s">
        <v>17</v>
      </c>
      <c r="K2" s="42"/>
    </row>
    <row r="3" spans="1:11" ht="20.100000000000001" customHeight="1">
      <c r="A3" s="29" t="s">
        <v>16</v>
      </c>
      <c r="B3" s="30" t="s">
        <v>0</v>
      </c>
      <c r="C3" s="30" t="s">
        <v>33</v>
      </c>
      <c r="D3" s="29" t="s">
        <v>4</v>
      </c>
      <c r="E3" s="29" t="s">
        <v>18</v>
      </c>
      <c r="F3" s="29" t="s">
        <v>1</v>
      </c>
      <c r="G3" s="29" t="s">
        <v>3</v>
      </c>
      <c r="H3" s="29" t="s">
        <v>2</v>
      </c>
      <c r="J3" s="37" t="s">
        <v>5</v>
      </c>
      <c r="K3" s="38"/>
    </row>
    <row r="4" spans="1:11" ht="20.100000000000001" customHeight="1">
      <c r="A4" s="12">
        <v>1</v>
      </c>
      <c r="B4" s="3"/>
      <c r="C4" s="35"/>
      <c r="D4" s="3"/>
      <c r="E4" s="3"/>
      <c r="F4" s="22"/>
      <c r="G4" s="4"/>
      <c r="H4" s="6" cm="1">
        <f t="array" ref="H4:H103">IF(F4:F103="Kata",2000, IF(F4:F103="Kumite",2000, IF(F4:F103="Kata/Kumite",3000,0)))</f>
        <v>0</v>
      </c>
      <c r="J4" s="26" t="s">
        <v>6</v>
      </c>
      <c r="K4" s="2"/>
    </row>
    <row r="5" spans="1:11" ht="20.100000000000001" customHeight="1">
      <c r="A5" s="12">
        <v>2</v>
      </c>
      <c r="B5" s="3"/>
      <c r="C5" s="3"/>
      <c r="D5" s="3"/>
      <c r="E5" s="3"/>
      <c r="F5" s="22"/>
      <c r="G5" s="4"/>
      <c r="H5" s="6">
        <v>0</v>
      </c>
      <c r="J5" s="26" t="s">
        <v>7</v>
      </c>
      <c r="K5" s="2"/>
    </row>
    <row r="6" spans="1:11" ht="20.100000000000001" customHeight="1">
      <c r="A6" s="12">
        <v>3</v>
      </c>
      <c r="B6" s="3"/>
      <c r="C6" s="3"/>
      <c r="D6" s="3"/>
      <c r="E6" s="3"/>
      <c r="F6" s="22"/>
      <c r="G6" s="4"/>
      <c r="H6" s="6">
        <v>0</v>
      </c>
      <c r="J6" s="26" t="s">
        <v>8</v>
      </c>
      <c r="K6" s="2"/>
    </row>
    <row r="7" spans="1:11" ht="20.100000000000001" customHeight="1">
      <c r="A7" s="12">
        <v>4</v>
      </c>
      <c r="B7" s="3"/>
      <c r="C7" s="3"/>
      <c r="D7" s="3"/>
      <c r="E7" s="3"/>
      <c r="F7" s="22"/>
      <c r="G7" s="4"/>
      <c r="H7" s="6">
        <v>0</v>
      </c>
      <c r="J7" s="27" t="s">
        <v>19</v>
      </c>
      <c r="K7" s="2" t="s">
        <v>20</v>
      </c>
    </row>
    <row r="8" spans="1:11" ht="20.100000000000001" customHeight="1">
      <c r="A8" s="12">
        <v>5</v>
      </c>
      <c r="B8" s="3"/>
      <c r="C8" s="3"/>
      <c r="D8" s="3"/>
      <c r="E8" s="3"/>
      <c r="F8" s="22"/>
      <c r="G8" s="4"/>
      <c r="H8" s="6">
        <v>0</v>
      </c>
      <c r="J8" s="26" t="s">
        <v>9</v>
      </c>
      <c r="K8" s="2"/>
    </row>
    <row r="9" spans="1:11" ht="20.100000000000001" customHeight="1">
      <c r="A9" s="12">
        <v>6</v>
      </c>
      <c r="B9" s="3"/>
      <c r="C9" s="3"/>
      <c r="D9" s="3"/>
      <c r="E9" s="3"/>
      <c r="F9" s="22"/>
      <c r="G9" s="4"/>
      <c r="H9" s="6">
        <v>0</v>
      </c>
      <c r="J9" s="26" t="s">
        <v>10</v>
      </c>
      <c r="K9" s="28"/>
    </row>
    <row r="10" spans="1:11" ht="20.100000000000001" customHeight="1">
      <c r="A10" s="12">
        <v>7</v>
      </c>
      <c r="B10" s="3"/>
      <c r="C10" s="3"/>
      <c r="D10" s="3"/>
      <c r="E10" s="3"/>
      <c r="F10" s="22"/>
      <c r="G10" s="4"/>
      <c r="H10" s="6">
        <v>0</v>
      </c>
    </row>
    <row r="11" spans="1:11" ht="20.100000000000001" customHeight="1">
      <c r="A11" s="12">
        <v>8</v>
      </c>
      <c r="B11" s="3"/>
      <c r="C11" s="3"/>
      <c r="D11" s="3"/>
      <c r="E11" s="3"/>
      <c r="F11" s="22"/>
      <c r="G11" s="4"/>
      <c r="H11" s="6">
        <v>0</v>
      </c>
      <c r="J11" s="39" t="s">
        <v>11</v>
      </c>
      <c r="K11" s="40"/>
    </row>
    <row r="12" spans="1:11" ht="20.100000000000001" customHeight="1">
      <c r="A12" s="12">
        <v>9</v>
      </c>
      <c r="B12" s="3"/>
      <c r="C12" s="3"/>
      <c r="D12" s="3"/>
      <c r="E12" s="3"/>
      <c r="F12" s="22"/>
      <c r="G12" s="4"/>
      <c r="H12" s="6">
        <v>0</v>
      </c>
      <c r="J12" s="1" t="s">
        <v>12</v>
      </c>
      <c r="K12" s="7">
        <f>COUNTA(B4:B104)</f>
        <v>0</v>
      </c>
    </row>
    <row r="13" spans="1:11" ht="20.100000000000001" customHeight="1">
      <c r="A13" s="12">
        <v>10</v>
      </c>
      <c r="B13" s="3"/>
      <c r="C13" s="3"/>
      <c r="D13" s="3"/>
      <c r="E13" s="3"/>
      <c r="F13" s="22"/>
      <c r="G13" s="4"/>
      <c r="H13" s="6">
        <v>0</v>
      </c>
      <c r="J13" s="1" t="s">
        <v>15</v>
      </c>
      <c r="K13" s="7">
        <f>COUNTA('T-Kata'!A4:A58)</f>
        <v>0</v>
      </c>
    </row>
    <row r="14" spans="1:11" ht="20.100000000000001" customHeight="1">
      <c r="A14" s="12">
        <v>11</v>
      </c>
      <c r="B14" s="3"/>
      <c r="C14" s="3"/>
      <c r="D14" s="3"/>
      <c r="E14" s="3"/>
      <c r="F14" s="22"/>
      <c r="G14" s="4"/>
      <c r="H14" s="6">
        <v>0</v>
      </c>
      <c r="J14" s="1" t="s">
        <v>13</v>
      </c>
      <c r="K14" s="8">
        <f>SUM(H4:H104,'T-Kata'!F4:F58)</f>
        <v>0</v>
      </c>
    </row>
    <row r="15" spans="1:11" ht="20.100000000000001" customHeight="1">
      <c r="A15" s="12">
        <v>12</v>
      </c>
      <c r="B15" s="3"/>
      <c r="C15" s="3"/>
      <c r="D15" s="3"/>
      <c r="E15" s="3"/>
      <c r="F15" s="22"/>
      <c r="G15" s="4"/>
      <c r="H15" s="6">
        <v>0</v>
      </c>
    </row>
    <row r="16" spans="1:11" ht="20.100000000000001" customHeight="1">
      <c r="A16" s="12">
        <v>13</v>
      </c>
      <c r="B16" s="3"/>
      <c r="C16" s="3"/>
      <c r="D16" s="3"/>
      <c r="E16" s="3"/>
      <c r="F16" s="22"/>
      <c r="G16" s="4"/>
      <c r="H16" s="6">
        <v>0</v>
      </c>
    </row>
    <row r="17" spans="1:12" ht="20.100000000000001" customHeight="1">
      <c r="A17" s="12">
        <v>14</v>
      </c>
      <c r="B17" s="3"/>
      <c r="C17" s="3"/>
      <c r="D17" s="3"/>
      <c r="E17" s="3"/>
      <c r="F17" s="22"/>
      <c r="G17" s="4"/>
      <c r="H17" s="6">
        <v>0</v>
      </c>
      <c r="J17" s="41" t="s">
        <v>14</v>
      </c>
      <c r="K17" s="41"/>
    </row>
    <row r="18" spans="1:12" ht="20.100000000000001" customHeight="1">
      <c r="A18" s="12">
        <v>15</v>
      </c>
      <c r="B18" s="3"/>
      <c r="C18" s="3"/>
      <c r="D18" s="3"/>
      <c r="E18" s="3"/>
      <c r="F18" s="22"/>
      <c r="G18" s="4"/>
      <c r="H18" s="6">
        <v>0</v>
      </c>
    </row>
    <row r="19" spans="1:12" ht="20.100000000000001" customHeight="1">
      <c r="A19" s="12">
        <v>16</v>
      </c>
      <c r="B19" s="3"/>
      <c r="C19" s="3"/>
      <c r="D19" s="3"/>
      <c r="E19" s="3"/>
      <c r="F19" s="22"/>
      <c r="G19" s="4"/>
      <c r="H19" s="6">
        <v>0</v>
      </c>
      <c r="J19" s="44" t="s">
        <v>25</v>
      </c>
      <c r="K19" s="44"/>
      <c r="L19" s="44"/>
    </row>
    <row r="20" spans="1:12" ht="20.100000000000001" customHeight="1">
      <c r="A20" s="12">
        <v>17</v>
      </c>
      <c r="B20" s="3"/>
      <c r="C20" s="3"/>
      <c r="D20" s="3"/>
      <c r="E20" s="3"/>
      <c r="F20" s="22"/>
      <c r="G20" s="4"/>
      <c r="H20" s="6">
        <v>0</v>
      </c>
      <c r="J20" s="33" t="s">
        <v>26</v>
      </c>
      <c r="K20" s="33"/>
      <c r="L20" s="34"/>
    </row>
    <row r="21" spans="1:12" ht="20.100000000000001" customHeight="1">
      <c r="A21" s="12">
        <v>18</v>
      </c>
      <c r="B21" s="3"/>
      <c r="C21" s="3"/>
      <c r="D21" s="3"/>
      <c r="E21" s="3"/>
      <c r="F21" s="22"/>
      <c r="G21" s="4"/>
      <c r="H21" s="6">
        <v>0</v>
      </c>
      <c r="J21" s="45" t="s">
        <v>27</v>
      </c>
      <c r="K21" s="45"/>
      <c r="L21" s="45"/>
    </row>
    <row r="22" spans="1:12" ht="20.100000000000001" customHeight="1">
      <c r="A22" s="12">
        <v>19</v>
      </c>
      <c r="B22" s="3"/>
      <c r="C22" s="3"/>
      <c r="D22" s="3"/>
      <c r="E22" s="3"/>
      <c r="F22" s="22"/>
      <c r="G22" s="4"/>
      <c r="H22" s="6">
        <v>0</v>
      </c>
      <c r="J22" s="45" t="s">
        <v>28</v>
      </c>
      <c r="K22" s="45"/>
      <c r="L22" s="45"/>
    </row>
    <row r="23" spans="1:12" ht="20.100000000000001" customHeight="1">
      <c r="A23" s="12">
        <v>20</v>
      </c>
      <c r="B23" s="3"/>
      <c r="C23" s="3"/>
      <c r="D23" s="3"/>
      <c r="E23" s="3"/>
      <c r="F23" s="22"/>
      <c r="G23" s="4"/>
      <c r="H23" s="6">
        <v>0</v>
      </c>
      <c r="J23" s="46" t="s">
        <v>35</v>
      </c>
      <c r="K23" s="46"/>
      <c r="L23" s="46"/>
    </row>
    <row r="24" spans="1:12" ht="20.100000000000001" customHeight="1">
      <c r="A24" s="12">
        <v>21</v>
      </c>
      <c r="B24" s="3"/>
      <c r="C24" s="3"/>
      <c r="D24" s="3"/>
      <c r="E24" s="3"/>
      <c r="F24" s="22"/>
      <c r="G24" s="4"/>
      <c r="H24" s="6">
        <v>0</v>
      </c>
    </row>
    <row r="25" spans="1:12" ht="20.100000000000001" customHeight="1">
      <c r="A25" s="12">
        <v>22</v>
      </c>
      <c r="B25" s="3"/>
      <c r="C25" s="3"/>
      <c r="D25" s="3"/>
      <c r="E25" s="3"/>
      <c r="F25" s="22"/>
      <c r="G25" s="4"/>
      <c r="H25" s="6">
        <v>0</v>
      </c>
      <c r="J25" s="49" t="s">
        <v>29</v>
      </c>
      <c r="K25" s="49"/>
      <c r="L25" s="49"/>
    </row>
    <row r="26" spans="1:12" ht="20.100000000000001" customHeight="1">
      <c r="A26" s="12">
        <v>23</v>
      </c>
      <c r="B26" s="3"/>
      <c r="C26" s="3"/>
      <c r="D26" s="3"/>
      <c r="E26" s="3"/>
      <c r="F26" s="22"/>
      <c r="G26" s="4"/>
      <c r="H26" s="6">
        <v>0</v>
      </c>
      <c r="J26" s="50" t="s">
        <v>30</v>
      </c>
      <c r="K26" s="50"/>
      <c r="L26" s="50"/>
    </row>
    <row r="27" spans="1:12" ht="20.100000000000001" customHeight="1">
      <c r="A27" s="12">
        <v>24</v>
      </c>
      <c r="B27" s="3"/>
      <c r="C27" s="3"/>
      <c r="D27" s="3"/>
      <c r="E27" s="3"/>
      <c r="F27" s="22"/>
      <c r="G27" s="4"/>
      <c r="H27" s="6">
        <v>0</v>
      </c>
      <c r="J27" s="51" t="s">
        <v>31</v>
      </c>
      <c r="K27" s="51"/>
      <c r="L27" s="51"/>
    </row>
    <row r="28" spans="1:12" ht="20.100000000000001" customHeight="1">
      <c r="A28" s="12">
        <v>25</v>
      </c>
      <c r="B28" s="3"/>
      <c r="C28" s="3"/>
      <c r="D28" s="3"/>
      <c r="E28" s="3"/>
      <c r="F28" s="22"/>
      <c r="G28" s="4"/>
      <c r="H28" s="6">
        <v>0</v>
      </c>
      <c r="J28" s="51" t="s">
        <v>32</v>
      </c>
      <c r="K28" s="51"/>
      <c r="L28" s="51"/>
    </row>
    <row r="29" spans="1:12" ht="20.100000000000001" customHeight="1">
      <c r="A29" s="12">
        <v>26</v>
      </c>
      <c r="B29" s="3"/>
      <c r="C29" s="3"/>
      <c r="D29" s="3"/>
      <c r="E29" s="3"/>
      <c r="F29" s="22"/>
      <c r="G29" s="4"/>
      <c r="H29" s="6">
        <v>0</v>
      </c>
      <c r="J29" s="47" t="s">
        <v>36</v>
      </c>
      <c r="K29" s="48"/>
      <c r="L29" s="48"/>
    </row>
    <row r="30" spans="1:12" ht="20.100000000000001" customHeight="1">
      <c r="A30" s="12">
        <v>27</v>
      </c>
      <c r="B30" s="3"/>
      <c r="C30" s="3"/>
      <c r="D30" s="3"/>
      <c r="E30" s="3"/>
      <c r="F30" s="22"/>
      <c r="G30" s="4"/>
      <c r="H30" s="6">
        <v>0</v>
      </c>
    </row>
    <row r="31" spans="1:12" ht="20.100000000000001" customHeight="1">
      <c r="A31" s="12">
        <v>28</v>
      </c>
      <c r="B31" s="3"/>
      <c r="C31" s="3"/>
      <c r="D31" s="3"/>
      <c r="E31" s="3"/>
      <c r="F31" s="22"/>
      <c r="G31" s="4"/>
      <c r="H31" s="6">
        <v>0</v>
      </c>
    </row>
    <row r="32" spans="1:12" ht="20.100000000000001" customHeight="1">
      <c r="A32" s="12">
        <v>29</v>
      </c>
      <c r="B32" s="3"/>
      <c r="C32" s="3"/>
      <c r="D32" s="3"/>
      <c r="E32" s="3"/>
      <c r="F32" s="22"/>
      <c r="G32" s="4"/>
      <c r="H32" s="6">
        <v>0</v>
      </c>
    </row>
    <row r="33" spans="1:8" ht="20.100000000000001" customHeight="1">
      <c r="A33" s="12">
        <v>30</v>
      </c>
      <c r="B33" s="3"/>
      <c r="C33" s="3"/>
      <c r="D33" s="3"/>
      <c r="E33" s="3"/>
      <c r="F33" s="22"/>
      <c r="G33" s="4"/>
      <c r="H33" s="6">
        <v>0</v>
      </c>
    </row>
    <row r="34" spans="1:8" ht="20.100000000000001" customHeight="1">
      <c r="A34" s="12">
        <v>31</v>
      </c>
      <c r="B34" s="3"/>
      <c r="C34" s="3"/>
      <c r="D34" s="3"/>
      <c r="E34" s="3"/>
      <c r="F34" s="22"/>
      <c r="G34" s="4"/>
      <c r="H34" s="6">
        <v>0</v>
      </c>
    </row>
    <row r="35" spans="1:8" ht="20.100000000000001" customHeight="1">
      <c r="A35" s="12">
        <v>32</v>
      </c>
      <c r="B35" s="3"/>
      <c r="C35" s="3"/>
      <c r="D35" s="3"/>
      <c r="E35" s="3"/>
      <c r="F35" s="22"/>
      <c r="G35" s="4"/>
      <c r="H35" s="6">
        <v>0</v>
      </c>
    </row>
    <row r="36" spans="1:8" ht="20.100000000000001" customHeight="1">
      <c r="A36" s="12">
        <v>33</v>
      </c>
      <c r="B36" s="3"/>
      <c r="C36" s="3"/>
      <c r="D36" s="3"/>
      <c r="E36" s="3"/>
      <c r="F36" s="22"/>
      <c r="G36" s="4"/>
      <c r="H36" s="6">
        <v>0</v>
      </c>
    </row>
    <row r="37" spans="1:8" ht="20.100000000000001" customHeight="1">
      <c r="A37" s="12">
        <v>34</v>
      </c>
      <c r="B37" s="3"/>
      <c r="C37" s="3"/>
      <c r="D37" s="3"/>
      <c r="E37" s="3"/>
      <c r="F37" s="22"/>
      <c r="G37" s="4"/>
      <c r="H37" s="6">
        <v>0</v>
      </c>
    </row>
    <row r="38" spans="1:8" ht="20.100000000000001" customHeight="1">
      <c r="A38" s="12">
        <v>35</v>
      </c>
      <c r="B38" s="3"/>
      <c r="C38" s="3"/>
      <c r="D38" s="3"/>
      <c r="E38" s="3"/>
      <c r="F38" s="22"/>
      <c r="G38" s="4"/>
      <c r="H38" s="6">
        <v>0</v>
      </c>
    </row>
    <row r="39" spans="1:8" ht="20.100000000000001" customHeight="1">
      <c r="A39" s="12">
        <v>36</v>
      </c>
      <c r="B39" s="3"/>
      <c r="C39" s="3"/>
      <c r="D39" s="3"/>
      <c r="E39" s="3"/>
      <c r="F39" s="22"/>
      <c r="G39" s="4"/>
      <c r="H39" s="6">
        <v>0</v>
      </c>
    </row>
    <row r="40" spans="1:8" ht="20.100000000000001" customHeight="1">
      <c r="A40" s="12">
        <v>37</v>
      </c>
      <c r="B40" s="3"/>
      <c r="C40" s="3"/>
      <c r="D40" s="3"/>
      <c r="E40" s="3"/>
      <c r="F40" s="22"/>
      <c r="G40" s="4"/>
      <c r="H40" s="6">
        <v>0</v>
      </c>
    </row>
    <row r="41" spans="1:8" ht="20.100000000000001" customHeight="1">
      <c r="A41" s="12">
        <v>38</v>
      </c>
      <c r="B41" s="3"/>
      <c r="C41" s="3"/>
      <c r="D41" s="3"/>
      <c r="E41" s="3"/>
      <c r="F41" s="22"/>
      <c r="G41" s="4"/>
      <c r="H41" s="6">
        <v>0</v>
      </c>
    </row>
    <row r="42" spans="1:8" ht="20.100000000000001" customHeight="1">
      <c r="A42" s="12">
        <v>39</v>
      </c>
      <c r="B42" s="3"/>
      <c r="C42" s="3"/>
      <c r="D42" s="3"/>
      <c r="E42" s="3"/>
      <c r="F42" s="22"/>
      <c r="G42" s="4"/>
      <c r="H42" s="6">
        <v>0</v>
      </c>
    </row>
    <row r="43" spans="1:8" ht="20.100000000000001" customHeight="1">
      <c r="A43" s="12">
        <v>40</v>
      </c>
      <c r="B43" s="3"/>
      <c r="C43" s="3"/>
      <c r="D43" s="3"/>
      <c r="E43" s="3"/>
      <c r="F43" s="22"/>
      <c r="G43" s="4"/>
      <c r="H43" s="6">
        <v>0</v>
      </c>
    </row>
    <row r="44" spans="1:8" ht="20.100000000000001" customHeight="1">
      <c r="A44" s="12">
        <v>41</v>
      </c>
      <c r="B44" s="3"/>
      <c r="C44" s="3"/>
      <c r="D44" s="3"/>
      <c r="E44" s="3"/>
      <c r="F44" s="22"/>
      <c r="G44" s="4"/>
      <c r="H44" s="6">
        <v>0</v>
      </c>
    </row>
    <row r="45" spans="1:8" ht="20.100000000000001" customHeight="1">
      <c r="A45" s="12">
        <v>42</v>
      </c>
      <c r="B45" s="3"/>
      <c r="C45" s="3"/>
      <c r="D45" s="3"/>
      <c r="E45" s="3"/>
      <c r="F45" s="22"/>
      <c r="G45" s="4"/>
      <c r="H45" s="6">
        <v>0</v>
      </c>
    </row>
    <row r="46" spans="1:8" ht="20.100000000000001" customHeight="1">
      <c r="A46" s="12">
        <v>43</v>
      </c>
      <c r="B46" s="3"/>
      <c r="C46" s="3"/>
      <c r="D46" s="3"/>
      <c r="E46" s="3"/>
      <c r="F46" s="22"/>
      <c r="G46" s="4"/>
      <c r="H46" s="6">
        <v>0</v>
      </c>
    </row>
    <row r="47" spans="1:8" ht="20.100000000000001" customHeight="1">
      <c r="A47" s="12">
        <v>44</v>
      </c>
      <c r="B47" s="3"/>
      <c r="C47" s="3"/>
      <c r="D47" s="3"/>
      <c r="E47" s="3"/>
      <c r="F47" s="22"/>
      <c r="G47" s="4"/>
      <c r="H47" s="6">
        <v>0</v>
      </c>
    </row>
    <row r="48" spans="1:8" ht="20.100000000000001" customHeight="1">
      <c r="A48" s="12">
        <v>45</v>
      </c>
      <c r="B48" s="3"/>
      <c r="C48" s="3"/>
      <c r="D48" s="3"/>
      <c r="E48" s="3"/>
      <c r="F48" s="22"/>
      <c r="G48" s="4"/>
      <c r="H48" s="6">
        <v>0</v>
      </c>
    </row>
    <row r="49" spans="1:8" ht="20.100000000000001" customHeight="1">
      <c r="A49" s="12">
        <v>46</v>
      </c>
      <c r="B49" s="3"/>
      <c r="C49" s="3"/>
      <c r="D49" s="3"/>
      <c r="E49" s="3"/>
      <c r="F49" s="22"/>
      <c r="G49" s="4"/>
      <c r="H49" s="6">
        <v>0</v>
      </c>
    </row>
    <row r="50" spans="1:8" ht="20.100000000000001" customHeight="1">
      <c r="A50" s="12">
        <v>47</v>
      </c>
      <c r="B50" s="3"/>
      <c r="C50" s="3"/>
      <c r="D50" s="3"/>
      <c r="E50" s="3"/>
      <c r="F50" s="22"/>
      <c r="G50" s="4"/>
      <c r="H50" s="6">
        <v>0</v>
      </c>
    </row>
    <row r="51" spans="1:8" ht="20.100000000000001" customHeight="1">
      <c r="A51" s="12">
        <v>48</v>
      </c>
      <c r="B51" s="3"/>
      <c r="C51" s="3"/>
      <c r="D51" s="3"/>
      <c r="E51" s="3"/>
      <c r="F51" s="22"/>
      <c r="G51" s="4"/>
      <c r="H51" s="6">
        <v>0</v>
      </c>
    </row>
    <row r="52" spans="1:8" ht="20.100000000000001" customHeight="1">
      <c r="A52" s="12">
        <v>49</v>
      </c>
      <c r="B52" s="3"/>
      <c r="C52" s="3"/>
      <c r="D52" s="3"/>
      <c r="E52" s="3"/>
      <c r="F52" s="22"/>
      <c r="G52" s="4"/>
      <c r="H52" s="6">
        <v>0</v>
      </c>
    </row>
    <row r="53" spans="1:8" ht="20.100000000000001" customHeight="1">
      <c r="A53" s="12">
        <v>50</v>
      </c>
      <c r="B53" s="3"/>
      <c r="C53" s="3"/>
      <c r="D53" s="3"/>
      <c r="E53" s="3"/>
      <c r="F53" s="22"/>
      <c r="G53" s="4"/>
      <c r="H53" s="6">
        <v>0</v>
      </c>
    </row>
    <row r="54" spans="1:8" ht="20.100000000000001" customHeight="1">
      <c r="A54" s="12">
        <v>51</v>
      </c>
      <c r="B54" s="3"/>
      <c r="C54" s="3"/>
      <c r="D54" s="3"/>
      <c r="E54" s="3"/>
      <c r="F54" s="22"/>
      <c r="G54" s="4"/>
      <c r="H54" s="6">
        <v>0</v>
      </c>
    </row>
    <row r="55" spans="1:8" ht="20.100000000000001" customHeight="1">
      <c r="A55" s="12">
        <v>52</v>
      </c>
      <c r="B55" s="3"/>
      <c r="C55" s="3"/>
      <c r="D55" s="3"/>
      <c r="E55" s="3"/>
      <c r="F55" s="22"/>
      <c r="G55" s="4"/>
      <c r="H55" s="6">
        <v>0</v>
      </c>
    </row>
    <row r="56" spans="1:8" ht="20.100000000000001" customHeight="1">
      <c r="A56" s="12">
        <v>53</v>
      </c>
      <c r="B56" s="3"/>
      <c r="C56" s="3"/>
      <c r="D56" s="3"/>
      <c r="E56" s="3"/>
      <c r="F56" s="22"/>
      <c r="G56" s="4"/>
      <c r="H56" s="6">
        <v>0</v>
      </c>
    </row>
    <row r="57" spans="1:8" ht="20.100000000000001" customHeight="1">
      <c r="A57" s="12">
        <v>54</v>
      </c>
      <c r="B57" s="3"/>
      <c r="C57" s="3"/>
      <c r="D57" s="3"/>
      <c r="E57" s="3"/>
      <c r="F57" s="22"/>
      <c r="G57" s="4"/>
      <c r="H57" s="6">
        <v>0</v>
      </c>
    </row>
    <row r="58" spans="1:8" ht="20.100000000000001" customHeight="1">
      <c r="A58" s="12">
        <v>55</v>
      </c>
      <c r="B58" s="3"/>
      <c r="C58" s="3"/>
      <c r="D58" s="3"/>
      <c r="E58" s="3"/>
      <c r="F58" s="22"/>
      <c r="G58" s="4"/>
      <c r="H58" s="6">
        <v>0</v>
      </c>
    </row>
    <row r="59" spans="1:8" ht="20.100000000000001" customHeight="1">
      <c r="A59" s="12">
        <v>56</v>
      </c>
      <c r="B59" s="3"/>
      <c r="C59" s="3"/>
      <c r="D59" s="3"/>
      <c r="E59" s="3"/>
      <c r="F59" s="22"/>
      <c r="G59" s="4"/>
      <c r="H59" s="6">
        <v>0</v>
      </c>
    </row>
    <row r="60" spans="1:8" ht="20.100000000000001" customHeight="1">
      <c r="A60" s="12">
        <v>57</v>
      </c>
      <c r="B60" s="3"/>
      <c r="C60" s="3"/>
      <c r="D60" s="3"/>
      <c r="E60" s="3"/>
      <c r="F60" s="22"/>
      <c r="G60" s="4"/>
      <c r="H60" s="6">
        <v>0</v>
      </c>
    </row>
    <row r="61" spans="1:8" ht="20.100000000000001" customHeight="1">
      <c r="A61" s="12">
        <v>58</v>
      </c>
      <c r="B61" s="3"/>
      <c r="C61" s="3"/>
      <c r="D61" s="3"/>
      <c r="E61" s="3"/>
      <c r="F61" s="22"/>
      <c r="G61" s="4"/>
      <c r="H61" s="6">
        <v>0</v>
      </c>
    </row>
    <row r="62" spans="1:8" ht="20.100000000000001" customHeight="1">
      <c r="A62" s="12">
        <v>59</v>
      </c>
      <c r="B62" s="3"/>
      <c r="C62" s="3"/>
      <c r="D62" s="3"/>
      <c r="E62" s="3"/>
      <c r="F62" s="22"/>
      <c r="G62" s="4"/>
      <c r="H62" s="6">
        <v>0</v>
      </c>
    </row>
    <row r="63" spans="1:8" ht="20.100000000000001" customHeight="1">
      <c r="A63" s="12">
        <v>60</v>
      </c>
      <c r="B63" s="3"/>
      <c r="C63" s="3"/>
      <c r="D63" s="3"/>
      <c r="E63" s="3"/>
      <c r="F63" s="22"/>
      <c r="G63" s="4"/>
      <c r="H63" s="6">
        <v>0</v>
      </c>
    </row>
    <row r="64" spans="1:8" ht="20.100000000000001" customHeight="1">
      <c r="A64" s="12">
        <v>61</v>
      </c>
      <c r="B64" s="3"/>
      <c r="C64" s="3"/>
      <c r="D64" s="3"/>
      <c r="E64" s="3"/>
      <c r="F64" s="22"/>
      <c r="G64" s="4"/>
      <c r="H64" s="6">
        <v>0</v>
      </c>
    </row>
    <row r="65" spans="1:8" ht="20.100000000000001" customHeight="1">
      <c r="A65" s="12">
        <v>62</v>
      </c>
      <c r="B65" s="3"/>
      <c r="C65" s="3"/>
      <c r="D65" s="3"/>
      <c r="E65" s="3"/>
      <c r="F65" s="22"/>
      <c r="G65" s="4"/>
      <c r="H65" s="6">
        <v>0</v>
      </c>
    </row>
    <row r="66" spans="1:8" ht="20.100000000000001" customHeight="1">
      <c r="A66" s="12">
        <v>63</v>
      </c>
      <c r="B66" s="3"/>
      <c r="C66" s="3"/>
      <c r="D66" s="3"/>
      <c r="E66" s="3"/>
      <c r="F66" s="22"/>
      <c r="G66" s="4"/>
      <c r="H66" s="6">
        <v>0</v>
      </c>
    </row>
    <row r="67" spans="1:8" ht="20.100000000000001" customHeight="1">
      <c r="A67" s="12">
        <v>64</v>
      </c>
      <c r="B67" s="3"/>
      <c r="C67" s="3"/>
      <c r="D67" s="3"/>
      <c r="E67" s="3"/>
      <c r="F67" s="22"/>
      <c r="G67" s="4"/>
      <c r="H67" s="6">
        <v>0</v>
      </c>
    </row>
    <row r="68" spans="1:8" ht="20.100000000000001" customHeight="1">
      <c r="A68" s="12">
        <v>65</v>
      </c>
      <c r="B68" s="3"/>
      <c r="C68" s="3"/>
      <c r="D68" s="3"/>
      <c r="E68" s="3"/>
      <c r="F68" s="22"/>
      <c r="G68" s="4"/>
      <c r="H68" s="6">
        <v>0</v>
      </c>
    </row>
    <row r="69" spans="1:8" ht="20.100000000000001" customHeight="1">
      <c r="A69" s="12">
        <v>66</v>
      </c>
      <c r="B69" s="3"/>
      <c r="C69" s="3"/>
      <c r="D69" s="3"/>
      <c r="E69" s="3"/>
      <c r="F69" s="22"/>
      <c r="G69" s="4"/>
      <c r="H69" s="6">
        <v>0</v>
      </c>
    </row>
    <row r="70" spans="1:8" ht="20.100000000000001" customHeight="1">
      <c r="A70" s="12">
        <v>67</v>
      </c>
      <c r="B70" s="3"/>
      <c r="C70" s="3"/>
      <c r="D70" s="3"/>
      <c r="E70" s="3"/>
      <c r="F70" s="22"/>
      <c r="G70" s="4"/>
      <c r="H70" s="6">
        <v>0</v>
      </c>
    </row>
    <row r="71" spans="1:8" ht="20.100000000000001" customHeight="1">
      <c r="A71" s="12">
        <v>68</v>
      </c>
      <c r="B71" s="3"/>
      <c r="C71" s="3"/>
      <c r="D71" s="3"/>
      <c r="E71" s="3"/>
      <c r="F71" s="22"/>
      <c r="G71" s="4"/>
      <c r="H71" s="6">
        <v>0</v>
      </c>
    </row>
    <row r="72" spans="1:8" ht="20.100000000000001" customHeight="1">
      <c r="A72" s="12">
        <v>69</v>
      </c>
      <c r="B72" s="3"/>
      <c r="C72" s="3"/>
      <c r="D72" s="3"/>
      <c r="E72" s="3"/>
      <c r="F72" s="22"/>
      <c r="G72" s="4"/>
      <c r="H72" s="6">
        <v>0</v>
      </c>
    </row>
    <row r="73" spans="1:8" ht="20.100000000000001" customHeight="1">
      <c r="A73" s="12">
        <v>70</v>
      </c>
      <c r="B73" s="3"/>
      <c r="C73" s="3"/>
      <c r="D73" s="3"/>
      <c r="E73" s="3"/>
      <c r="F73" s="22"/>
      <c r="G73" s="4"/>
      <c r="H73" s="6">
        <v>0</v>
      </c>
    </row>
    <row r="74" spans="1:8" ht="20.100000000000001" customHeight="1">
      <c r="A74" s="12">
        <v>71</v>
      </c>
      <c r="B74" s="3"/>
      <c r="C74" s="3"/>
      <c r="D74" s="3"/>
      <c r="E74" s="3"/>
      <c r="F74" s="22"/>
      <c r="G74" s="4"/>
      <c r="H74" s="6">
        <v>0</v>
      </c>
    </row>
    <row r="75" spans="1:8" ht="20.100000000000001" customHeight="1">
      <c r="A75" s="12">
        <v>72</v>
      </c>
      <c r="B75" s="3"/>
      <c r="C75" s="3"/>
      <c r="D75" s="3"/>
      <c r="E75" s="3"/>
      <c r="F75" s="22"/>
      <c r="G75" s="4"/>
      <c r="H75" s="6">
        <v>0</v>
      </c>
    </row>
    <row r="76" spans="1:8" ht="20.100000000000001" customHeight="1">
      <c r="A76" s="12">
        <v>73</v>
      </c>
      <c r="B76" s="3"/>
      <c r="C76" s="3"/>
      <c r="D76" s="3"/>
      <c r="E76" s="3"/>
      <c r="F76" s="22"/>
      <c r="G76" s="4"/>
      <c r="H76" s="6">
        <v>0</v>
      </c>
    </row>
    <row r="77" spans="1:8" ht="20.100000000000001" customHeight="1">
      <c r="A77" s="12">
        <v>74</v>
      </c>
      <c r="B77" s="3"/>
      <c r="C77" s="3"/>
      <c r="D77" s="3"/>
      <c r="E77" s="3"/>
      <c r="F77" s="22"/>
      <c r="G77" s="4"/>
      <c r="H77" s="6">
        <v>0</v>
      </c>
    </row>
    <row r="78" spans="1:8" ht="20.100000000000001" customHeight="1">
      <c r="A78" s="12">
        <v>75</v>
      </c>
      <c r="B78" s="3"/>
      <c r="C78" s="3"/>
      <c r="D78" s="3"/>
      <c r="E78" s="3"/>
      <c r="F78" s="22"/>
      <c r="G78" s="4"/>
      <c r="H78" s="6">
        <v>0</v>
      </c>
    </row>
    <row r="79" spans="1:8" ht="20.100000000000001" customHeight="1">
      <c r="A79" s="12">
        <v>76</v>
      </c>
      <c r="B79" s="3"/>
      <c r="C79" s="3"/>
      <c r="D79" s="3"/>
      <c r="E79" s="3"/>
      <c r="F79" s="22"/>
      <c r="G79" s="4"/>
      <c r="H79" s="6">
        <v>0</v>
      </c>
    </row>
    <row r="80" spans="1:8" ht="20.100000000000001" customHeight="1">
      <c r="A80" s="12">
        <v>77</v>
      </c>
      <c r="B80" s="3"/>
      <c r="C80" s="3"/>
      <c r="D80" s="3"/>
      <c r="E80" s="3"/>
      <c r="F80" s="22"/>
      <c r="G80" s="4"/>
      <c r="H80" s="6">
        <v>0</v>
      </c>
    </row>
    <row r="81" spans="1:8" ht="20.100000000000001" customHeight="1">
      <c r="A81" s="12">
        <v>78</v>
      </c>
      <c r="B81" s="3"/>
      <c r="C81" s="3"/>
      <c r="D81" s="3"/>
      <c r="E81" s="3"/>
      <c r="F81" s="22"/>
      <c r="G81" s="4"/>
      <c r="H81" s="6">
        <v>0</v>
      </c>
    </row>
    <row r="82" spans="1:8" ht="20.100000000000001" customHeight="1">
      <c r="A82" s="12">
        <v>79</v>
      </c>
      <c r="B82" s="3"/>
      <c r="C82" s="3"/>
      <c r="D82" s="3"/>
      <c r="E82" s="3"/>
      <c r="F82" s="22"/>
      <c r="G82" s="4"/>
      <c r="H82" s="6">
        <v>0</v>
      </c>
    </row>
    <row r="83" spans="1:8" ht="20.100000000000001" customHeight="1">
      <c r="A83" s="12">
        <v>80</v>
      </c>
      <c r="B83" s="3"/>
      <c r="C83" s="3"/>
      <c r="D83" s="3"/>
      <c r="E83" s="3"/>
      <c r="F83" s="22"/>
      <c r="G83" s="4"/>
      <c r="H83" s="6">
        <v>0</v>
      </c>
    </row>
    <row r="84" spans="1:8" ht="20.100000000000001" customHeight="1">
      <c r="A84" s="12">
        <v>81</v>
      </c>
      <c r="B84" s="3"/>
      <c r="C84" s="3"/>
      <c r="D84" s="3"/>
      <c r="E84" s="3"/>
      <c r="F84" s="22"/>
      <c r="G84" s="4"/>
      <c r="H84" s="6">
        <v>0</v>
      </c>
    </row>
    <row r="85" spans="1:8" ht="20.100000000000001" customHeight="1">
      <c r="A85" s="12">
        <v>82</v>
      </c>
      <c r="B85" s="3"/>
      <c r="C85" s="3"/>
      <c r="D85" s="3"/>
      <c r="E85" s="3"/>
      <c r="F85" s="22"/>
      <c r="G85" s="4"/>
      <c r="H85" s="6">
        <v>0</v>
      </c>
    </row>
    <row r="86" spans="1:8" ht="20.100000000000001" customHeight="1">
      <c r="A86" s="12">
        <v>83</v>
      </c>
      <c r="B86" s="3"/>
      <c r="C86" s="3"/>
      <c r="D86" s="3"/>
      <c r="E86" s="3"/>
      <c r="F86" s="22"/>
      <c r="G86" s="4"/>
      <c r="H86" s="6">
        <v>0</v>
      </c>
    </row>
    <row r="87" spans="1:8" ht="20.100000000000001" customHeight="1">
      <c r="A87" s="12">
        <v>84</v>
      </c>
      <c r="B87" s="3"/>
      <c r="C87" s="3"/>
      <c r="D87" s="3"/>
      <c r="E87" s="3"/>
      <c r="F87" s="22"/>
      <c r="G87" s="4"/>
      <c r="H87" s="6">
        <v>0</v>
      </c>
    </row>
    <row r="88" spans="1:8" ht="20.100000000000001" customHeight="1">
      <c r="A88" s="12">
        <v>85</v>
      </c>
      <c r="B88" s="3"/>
      <c r="C88" s="3"/>
      <c r="D88" s="3"/>
      <c r="E88" s="3"/>
      <c r="F88" s="22"/>
      <c r="G88" s="4"/>
      <c r="H88" s="6">
        <v>0</v>
      </c>
    </row>
    <row r="89" spans="1:8" ht="20.100000000000001" customHeight="1">
      <c r="A89" s="12">
        <v>86</v>
      </c>
      <c r="B89" s="3"/>
      <c r="C89" s="3"/>
      <c r="D89" s="3"/>
      <c r="E89" s="3"/>
      <c r="F89" s="22"/>
      <c r="G89" s="4"/>
      <c r="H89" s="6">
        <v>0</v>
      </c>
    </row>
    <row r="90" spans="1:8" ht="20.100000000000001" customHeight="1">
      <c r="A90" s="12">
        <v>87</v>
      </c>
      <c r="B90" s="3"/>
      <c r="C90" s="3"/>
      <c r="D90" s="3"/>
      <c r="E90" s="3"/>
      <c r="F90" s="22"/>
      <c r="G90" s="4"/>
      <c r="H90" s="6">
        <v>0</v>
      </c>
    </row>
    <row r="91" spans="1:8" ht="20.100000000000001" customHeight="1">
      <c r="A91" s="12">
        <v>88</v>
      </c>
      <c r="B91" s="3"/>
      <c r="C91" s="3"/>
      <c r="D91" s="3"/>
      <c r="E91" s="3"/>
      <c r="F91" s="22"/>
      <c r="G91" s="4"/>
      <c r="H91" s="6">
        <v>0</v>
      </c>
    </row>
    <row r="92" spans="1:8" ht="20.100000000000001" customHeight="1">
      <c r="A92" s="12">
        <v>89</v>
      </c>
      <c r="B92" s="3"/>
      <c r="C92" s="3"/>
      <c r="D92" s="3"/>
      <c r="E92" s="3"/>
      <c r="F92" s="22"/>
      <c r="G92" s="4"/>
      <c r="H92" s="6">
        <v>0</v>
      </c>
    </row>
    <row r="93" spans="1:8" ht="20.100000000000001" customHeight="1">
      <c r="A93" s="12">
        <v>90</v>
      </c>
      <c r="B93" s="3"/>
      <c r="C93" s="3"/>
      <c r="D93" s="3"/>
      <c r="E93" s="3"/>
      <c r="F93" s="22"/>
      <c r="G93" s="4"/>
      <c r="H93" s="6">
        <v>0</v>
      </c>
    </row>
    <row r="94" spans="1:8" ht="20.100000000000001" customHeight="1">
      <c r="A94" s="12">
        <v>91</v>
      </c>
      <c r="B94" s="3"/>
      <c r="C94" s="3"/>
      <c r="D94" s="3"/>
      <c r="E94" s="3"/>
      <c r="F94" s="22"/>
      <c r="G94" s="4"/>
      <c r="H94" s="6">
        <v>0</v>
      </c>
    </row>
    <row r="95" spans="1:8" ht="20.100000000000001" customHeight="1">
      <c r="A95" s="12">
        <v>92</v>
      </c>
      <c r="B95" s="3"/>
      <c r="C95" s="3"/>
      <c r="D95" s="3"/>
      <c r="E95" s="3"/>
      <c r="F95" s="22"/>
      <c r="G95" s="4"/>
      <c r="H95" s="6">
        <v>0</v>
      </c>
    </row>
    <row r="96" spans="1:8" ht="20.100000000000001" customHeight="1">
      <c r="A96" s="12">
        <v>93</v>
      </c>
      <c r="B96" s="3"/>
      <c r="C96" s="3"/>
      <c r="D96" s="3"/>
      <c r="E96" s="3"/>
      <c r="F96" s="22"/>
      <c r="G96" s="4"/>
      <c r="H96" s="6">
        <v>0</v>
      </c>
    </row>
    <row r="97" spans="1:8" ht="20.100000000000001" customHeight="1">
      <c r="A97" s="12">
        <v>94</v>
      </c>
      <c r="B97" s="3"/>
      <c r="C97" s="3"/>
      <c r="D97" s="3"/>
      <c r="E97" s="3"/>
      <c r="F97" s="22"/>
      <c r="G97" s="4"/>
      <c r="H97" s="6">
        <v>0</v>
      </c>
    </row>
    <row r="98" spans="1:8" ht="20.100000000000001" customHeight="1">
      <c r="A98" s="12">
        <v>95</v>
      </c>
      <c r="B98" s="3"/>
      <c r="C98" s="3"/>
      <c r="D98" s="3"/>
      <c r="E98" s="3"/>
      <c r="F98" s="22"/>
      <c r="G98" s="4"/>
      <c r="H98" s="6">
        <v>0</v>
      </c>
    </row>
    <row r="99" spans="1:8" ht="20.100000000000001" customHeight="1">
      <c r="A99" s="12">
        <v>96</v>
      </c>
      <c r="B99" s="3"/>
      <c r="C99" s="3"/>
      <c r="D99" s="3"/>
      <c r="E99" s="3"/>
      <c r="F99" s="22"/>
      <c r="G99" s="4"/>
      <c r="H99" s="6">
        <v>0</v>
      </c>
    </row>
    <row r="100" spans="1:8" ht="20.100000000000001" customHeight="1">
      <c r="A100" s="12">
        <v>97</v>
      </c>
      <c r="B100" s="3"/>
      <c r="C100" s="3"/>
      <c r="D100" s="3"/>
      <c r="E100" s="3"/>
      <c r="F100" s="22"/>
      <c r="G100" s="4"/>
      <c r="H100" s="6">
        <v>0</v>
      </c>
    </row>
    <row r="101" spans="1:8" ht="20.100000000000001" customHeight="1">
      <c r="A101" s="12">
        <v>98</v>
      </c>
      <c r="B101" s="3"/>
      <c r="C101" s="3"/>
      <c r="D101" s="3"/>
      <c r="E101" s="3"/>
      <c r="F101" s="22"/>
      <c r="G101" s="4"/>
      <c r="H101" s="6">
        <v>0</v>
      </c>
    </row>
    <row r="102" spans="1:8" ht="20.100000000000001" customHeight="1">
      <c r="A102" s="12">
        <v>99</v>
      </c>
      <c r="B102" s="3"/>
      <c r="C102" s="3"/>
      <c r="D102" s="3"/>
      <c r="E102" s="3"/>
      <c r="F102" s="22"/>
      <c r="G102" s="4"/>
      <c r="H102" s="6">
        <v>0</v>
      </c>
    </row>
    <row r="103" spans="1:8" ht="20.100000000000001" customHeight="1">
      <c r="A103" s="12">
        <v>100</v>
      </c>
      <c r="B103" s="3"/>
      <c r="C103" s="3"/>
      <c r="D103" s="3"/>
      <c r="E103" s="3"/>
      <c r="F103" s="22"/>
      <c r="G103" s="4"/>
      <c r="H103" s="6">
        <v>0</v>
      </c>
    </row>
    <row r="104" spans="1:8" s="15" customFormat="1">
      <c r="A104" s="16"/>
      <c r="B104" s="17"/>
      <c r="C104" s="17"/>
      <c r="D104" s="17"/>
      <c r="E104" s="17"/>
      <c r="F104" s="17"/>
      <c r="G104" s="18"/>
      <c r="H104" s="14"/>
    </row>
  </sheetData>
  <sheetProtection algorithmName="SHA-512" hashValue="2nWdSvCaj/hTruLyCup/PBHO/avES+AECNvmw4L7UvybUJJKD5TPLQhhe6YYflSp43T8DxUfEWE821iq4cdw1g==" saltValue="OrqmJbrj/fkPeKrCEUnNkg==" spinCount="100000" sheet="1" insertRows="0" selectLockedCells="1" sort="0" autoFilter="0"/>
  <mergeCells count="15">
    <mergeCell ref="J19:L19"/>
    <mergeCell ref="J21:L21"/>
    <mergeCell ref="J22:L22"/>
    <mergeCell ref="J23:L23"/>
    <mergeCell ref="J29:L29"/>
    <mergeCell ref="J25:L25"/>
    <mergeCell ref="J26:L26"/>
    <mergeCell ref="J27:L27"/>
    <mergeCell ref="J28:L28"/>
    <mergeCell ref="A1:H1"/>
    <mergeCell ref="J3:K3"/>
    <mergeCell ref="J11:K11"/>
    <mergeCell ref="J17:K17"/>
    <mergeCell ref="J2:K2"/>
    <mergeCell ref="A2:H2"/>
  </mergeCells>
  <dataValidations count="4">
    <dataValidation type="list" allowBlank="1" showInputMessage="1" showErrorMessage="1" sqref="E4:E103" xr:uid="{94F732D7-E449-4018-B983-2482F0B8831D}">
      <formula1>"Male,Female"</formula1>
    </dataValidation>
    <dataValidation type="list" allowBlank="1" showInputMessage="1" showErrorMessage="1" sqref="F4:F103" xr:uid="{391050EA-B630-46E0-A08F-651D4B5E9BAA}">
      <formula1>"Kata,Kumite, Kata/Kumite"</formula1>
    </dataValidation>
    <dataValidation type="list" allowBlank="1" showInputMessage="1" showErrorMessage="1" sqref="G4:G103" xr:uid="{216B9ACD-1365-48F9-88AC-7D0C9E181615}">
      <formula1>"NIL,30Kg,35Kg,40Kg,42Kg,45Kg,47Kg,48Kg,50Kg,52Kg,53Kg,54Kg,55Kg,57Kg,59Kg,60Kg,61Kg,63Kg,66Kg,67Kg,68Kg,70Kg,75Kg,76Kg,84Kg,Plus 35Kg,Plus 40Kg,Plus 45Kg,Plus 50Kg,Plus 61Kg,Plus 66Kg,Plus 68Kg,Plus 68Kg,Plus 70Kg,Plus 76Kg,Plus 84Kg"</formula1>
    </dataValidation>
    <dataValidation type="list" allowBlank="1" showInputMessage="1" showErrorMessage="1" sqref="D4:D103" xr:uid="{1E6506E3-E4CF-40E7-990E-D7673398F077}">
      <formula1>"U 10 Yrs,U 12 Yrs,U 14 Yrs,14-15 Cadet,16-17 Junior,U 21 Yrs(18-20),Senior Above 18Yrs"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C2ED-A9AF-4B15-9012-75C714A23C71}">
  <dimension ref="A1:I63"/>
  <sheetViews>
    <sheetView zoomScale="150" zoomScaleNormal="150" workbookViewId="0">
      <selection activeCell="E4" sqref="E4:E7"/>
    </sheetView>
  </sheetViews>
  <sheetFormatPr defaultRowHeight="15"/>
  <cols>
    <col min="1" max="1" width="7.28515625" style="9" customWidth="1"/>
    <col min="2" max="2" width="38" style="9" customWidth="1"/>
    <col min="3" max="3" width="13.85546875" style="9" customWidth="1"/>
    <col min="4" max="4" width="14.85546875" style="9" customWidth="1"/>
    <col min="5" max="5" width="15.7109375" style="9" customWidth="1"/>
    <col min="6" max="6" width="17.5703125" style="9" customWidth="1"/>
    <col min="7" max="16384" width="9.140625" style="9"/>
  </cols>
  <sheetData>
    <row r="1" spans="1:9" ht="34.5" customHeight="1">
      <c r="A1" s="58" t="s">
        <v>21</v>
      </c>
      <c r="B1" s="58"/>
      <c r="C1" s="58"/>
      <c r="D1" s="58"/>
      <c r="E1" s="58"/>
      <c r="F1" s="58"/>
      <c r="G1" s="31"/>
      <c r="H1" s="31"/>
      <c r="I1" s="31"/>
    </row>
    <row r="2" spans="1:9" ht="15" customHeight="1">
      <c r="A2" s="59" t="s">
        <v>22</v>
      </c>
      <c r="B2" s="59"/>
      <c r="C2" s="59"/>
      <c r="D2" s="59"/>
      <c r="E2" s="59"/>
      <c r="F2" s="59"/>
      <c r="G2" s="32"/>
      <c r="H2" s="32"/>
      <c r="I2" s="32"/>
    </row>
    <row r="3" spans="1:9">
      <c r="A3" s="25" t="s">
        <v>23</v>
      </c>
      <c r="B3" s="25" t="s">
        <v>0</v>
      </c>
      <c r="C3" s="25" t="s">
        <v>24</v>
      </c>
      <c r="D3" s="25" t="s">
        <v>18</v>
      </c>
      <c r="E3" s="25" t="s">
        <v>1</v>
      </c>
      <c r="F3" s="25" t="s">
        <v>2</v>
      </c>
    </row>
    <row r="4" spans="1:9">
      <c r="A4" s="52"/>
      <c r="B4" s="20"/>
      <c r="C4" s="52"/>
      <c r="D4" s="52"/>
      <c r="E4" s="52"/>
      <c r="F4" s="55">
        <f>IF(E4="TEAM KATA",4000,)</f>
        <v>0</v>
      </c>
    </row>
    <row r="5" spans="1:9">
      <c r="A5" s="53"/>
      <c r="B5" s="5"/>
      <c r="C5" s="53"/>
      <c r="D5" s="53"/>
      <c r="E5" s="53"/>
      <c r="F5" s="56"/>
    </row>
    <row r="6" spans="1:9">
      <c r="A6" s="53"/>
      <c r="B6" s="5"/>
      <c r="C6" s="53"/>
      <c r="D6" s="53"/>
      <c r="E6" s="53"/>
      <c r="F6" s="56"/>
    </row>
    <row r="7" spans="1:9">
      <c r="A7" s="54"/>
      <c r="B7" s="19"/>
      <c r="C7" s="54"/>
      <c r="D7" s="54"/>
      <c r="E7" s="54"/>
      <c r="F7" s="57"/>
    </row>
    <row r="8" spans="1:9">
      <c r="A8" s="52"/>
      <c r="B8" s="5"/>
      <c r="C8" s="52"/>
      <c r="D8" s="52"/>
      <c r="E8" s="52"/>
      <c r="F8" s="55">
        <f t="shared" ref="F8" si="0">IF(E8="TEAM KATA",4000,)</f>
        <v>0</v>
      </c>
    </row>
    <row r="9" spans="1:9">
      <c r="A9" s="53"/>
      <c r="B9" s="5"/>
      <c r="C9" s="53"/>
      <c r="D9" s="53"/>
      <c r="E9" s="53"/>
      <c r="F9" s="56"/>
    </row>
    <row r="10" spans="1:9" s="15" customFormat="1">
      <c r="A10" s="53"/>
      <c r="B10" s="5"/>
      <c r="C10" s="53"/>
      <c r="D10" s="53"/>
      <c r="E10" s="53"/>
      <c r="F10" s="56"/>
    </row>
    <row r="11" spans="1:9" s="15" customFormat="1">
      <c r="A11" s="54"/>
      <c r="B11" s="19"/>
      <c r="C11" s="54"/>
      <c r="D11" s="54"/>
      <c r="E11" s="54"/>
      <c r="F11" s="57"/>
    </row>
    <row r="12" spans="1:9" s="15" customFormat="1">
      <c r="A12" s="52"/>
      <c r="B12" s="5"/>
      <c r="C12" s="52"/>
      <c r="D12" s="52"/>
      <c r="E12" s="52"/>
      <c r="F12" s="55">
        <f t="shared" ref="F12" si="1">IF(E12="TEAM KATA",4000,)</f>
        <v>0</v>
      </c>
    </row>
    <row r="13" spans="1:9" s="15" customFormat="1">
      <c r="A13" s="53"/>
      <c r="B13" s="5"/>
      <c r="C13" s="53"/>
      <c r="D13" s="53"/>
      <c r="E13" s="53"/>
      <c r="F13" s="56"/>
    </row>
    <row r="14" spans="1:9" s="15" customFormat="1">
      <c r="A14" s="53"/>
      <c r="B14" s="5"/>
      <c r="C14" s="53"/>
      <c r="D14" s="53"/>
      <c r="E14" s="53"/>
      <c r="F14" s="56"/>
    </row>
    <row r="15" spans="1:9" s="15" customFormat="1">
      <c r="A15" s="54"/>
      <c r="B15" s="24"/>
      <c r="C15" s="54"/>
      <c r="D15" s="54"/>
      <c r="E15" s="54"/>
      <c r="F15" s="57"/>
    </row>
    <row r="16" spans="1:9" s="15" customFormat="1">
      <c r="A16" s="52"/>
      <c r="B16" s="5"/>
      <c r="C16" s="52"/>
      <c r="D16" s="52"/>
      <c r="E16" s="52"/>
      <c r="F16" s="55">
        <f t="shared" ref="F16" si="2">IF(E16="TEAM KATA",4000,)</f>
        <v>0</v>
      </c>
    </row>
    <row r="17" spans="1:6" s="15" customFormat="1">
      <c r="A17" s="53"/>
      <c r="B17" s="5"/>
      <c r="C17" s="53"/>
      <c r="D17" s="53"/>
      <c r="E17" s="53"/>
      <c r="F17" s="56"/>
    </row>
    <row r="18" spans="1:6" s="15" customFormat="1">
      <c r="A18" s="53"/>
      <c r="B18" s="5"/>
      <c r="C18" s="53"/>
      <c r="D18" s="53"/>
      <c r="E18" s="53"/>
      <c r="F18" s="56"/>
    </row>
    <row r="19" spans="1:6" s="15" customFormat="1">
      <c r="A19" s="54"/>
      <c r="B19" s="19"/>
      <c r="C19" s="54"/>
      <c r="D19" s="54"/>
      <c r="E19" s="54"/>
      <c r="F19" s="57"/>
    </row>
    <row r="20" spans="1:6" s="15" customFormat="1">
      <c r="A20" s="52"/>
      <c r="B20" s="5"/>
      <c r="C20" s="52"/>
      <c r="D20" s="52"/>
      <c r="E20" s="52"/>
      <c r="F20" s="55">
        <f t="shared" ref="F20" si="3">IF(E20="TEAM KATA",4000,)</f>
        <v>0</v>
      </c>
    </row>
    <row r="21" spans="1:6" s="15" customFormat="1">
      <c r="A21" s="53"/>
      <c r="B21" s="5"/>
      <c r="C21" s="53"/>
      <c r="D21" s="53"/>
      <c r="E21" s="53"/>
      <c r="F21" s="56"/>
    </row>
    <row r="22" spans="1:6" s="15" customFormat="1">
      <c r="A22" s="53"/>
      <c r="B22" s="5"/>
      <c r="C22" s="53"/>
      <c r="D22" s="53"/>
      <c r="E22" s="53"/>
      <c r="F22" s="56"/>
    </row>
    <row r="23" spans="1:6" s="15" customFormat="1">
      <c r="A23" s="54"/>
      <c r="B23" s="19"/>
      <c r="C23" s="54"/>
      <c r="D23" s="54"/>
      <c r="E23" s="54"/>
      <c r="F23" s="57"/>
    </row>
    <row r="24" spans="1:6" s="15" customFormat="1">
      <c r="A24" s="52"/>
      <c r="B24" s="5"/>
      <c r="C24" s="52"/>
      <c r="D24" s="52"/>
      <c r="E24" s="52"/>
      <c r="F24" s="55">
        <f t="shared" ref="F24" si="4">IF(E24="TEAM KATA",4000,)</f>
        <v>0</v>
      </c>
    </row>
    <row r="25" spans="1:6" s="15" customFormat="1">
      <c r="A25" s="53"/>
      <c r="B25" s="5"/>
      <c r="C25" s="53"/>
      <c r="D25" s="53"/>
      <c r="E25" s="53"/>
      <c r="F25" s="56"/>
    </row>
    <row r="26" spans="1:6" s="15" customFormat="1">
      <c r="A26" s="53"/>
      <c r="B26" s="5"/>
      <c r="C26" s="53"/>
      <c r="D26" s="53"/>
      <c r="E26" s="53"/>
      <c r="F26" s="56"/>
    </row>
    <row r="27" spans="1:6" s="15" customFormat="1">
      <c r="A27" s="54"/>
      <c r="B27" s="19"/>
      <c r="C27" s="54"/>
      <c r="D27" s="54"/>
      <c r="E27" s="54"/>
      <c r="F27" s="57"/>
    </row>
    <row r="28" spans="1:6" s="15" customFormat="1">
      <c r="A28" s="52"/>
      <c r="B28" s="5"/>
      <c r="C28" s="52"/>
      <c r="D28" s="52"/>
      <c r="E28" s="52"/>
      <c r="F28" s="55">
        <f t="shared" ref="F28" si="5">IF(E28="TEAM KATA",4000,)</f>
        <v>0</v>
      </c>
    </row>
    <row r="29" spans="1:6" s="15" customFormat="1">
      <c r="A29" s="53"/>
      <c r="B29" s="5"/>
      <c r="C29" s="53"/>
      <c r="D29" s="53"/>
      <c r="E29" s="53"/>
      <c r="F29" s="56"/>
    </row>
    <row r="30" spans="1:6" s="15" customFormat="1">
      <c r="A30" s="53"/>
      <c r="B30" s="5"/>
      <c r="C30" s="53"/>
      <c r="D30" s="53"/>
      <c r="E30" s="53"/>
      <c r="F30" s="56"/>
    </row>
    <row r="31" spans="1:6" s="15" customFormat="1">
      <c r="A31" s="54"/>
      <c r="B31" s="19"/>
      <c r="C31" s="54"/>
      <c r="D31" s="54"/>
      <c r="E31" s="54"/>
      <c r="F31" s="57"/>
    </row>
    <row r="32" spans="1:6" s="15" customFormat="1">
      <c r="A32" s="52"/>
      <c r="B32" s="5"/>
      <c r="C32" s="52"/>
      <c r="D32" s="52"/>
      <c r="E32" s="52"/>
      <c r="F32" s="55">
        <f t="shared" ref="F32" si="6">IF(E32="TEAM KATA",4000,)</f>
        <v>0</v>
      </c>
    </row>
    <row r="33" spans="1:6" s="15" customFormat="1">
      <c r="A33" s="53"/>
      <c r="B33" s="5"/>
      <c r="C33" s="53"/>
      <c r="D33" s="53"/>
      <c r="E33" s="53"/>
      <c r="F33" s="56"/>
    </row>
    <row r="34" spans="1:6" s="15" customFormat="1">
      <c r="A34" s="53"/>
      <c r="B34" s="5"/>
      <c r="C34" s="53"/>
      <c r="D34" s="53"/>
      <c r="E34" s="53"/>
      <c r="F34" s="56"/>
    </row>
    <row r="35" spans="1:6" s="15" customFormat="1">
      <c r="A35" s="54"/>
      <c r="B35" s="19"/>
      <c r="C35" s="54"/>
      <c r="D35" s="54"/>
      <c r="E35" s="54"/>
      <c r="F35" s="57"/>
    </row>
    <row r="36" spans="1:6" s="15" customFormat="1">
      <c r="A36" s="52"/>
      <c r="B36" s="5"/>
      <c r="C36" s="52"/>
      <c r="D36" s="52"/>
      <c r="E36" s="52"/>
      <c r="F36" s="55">
        <f t="shared" ref="F36" si="7">IF(E36="TEAM KATA",4000,)</f>
        <v>0</v>
      </c>
    </row>
    <row r="37" spans="1:6" s="15" customFormat="1">
      <c r="A37" s="53"/>
      <c r="B37" s="5"/>
      <c r="C37" s="53"/>
      <c r="D37" s="53"/>
      <c r="E37" s="53"/>
      <c r="F37" s="56"/>
    </row>
    <row r="38" spans="1:6" s="15" customFormat="1">
      <c r="A38" s="53"/>
      <c r="B38" s="5"/>
      <c r="C38" s="53"/>
      <c r="D38" s="53"/>
      <c r="E38" s="53"/>
      <c r="F38" s="56"/>
    </row>
    <row r="39" spans="1:6" s="15" customFormat="1">
      <c r="A39" s="54"/>
      <c r="B39" s="21"/>
      <c r="C39" s="54"/>
      <c r="D39" s="54"/>
      <c r="E39" s="54"/>
      <c r="F39" s="57"/>
    </row>
    <row r="40" spans="1:6" s="15" customFormat="1">
      <c r="A40" s="52"/>
      <c r="B40" s="5"/>
      <c r="C40" s="52"/>
      <c r="D40" s="52"/>
      <c r="E40" s="52"/>
      <c r="F40" s="55">
        <f t="shared" ref="F40" si="8">IF(E40="TEAM KATA",4000,)</f>
        <v>0</v>
      </c>
    </row>
    <row r="41" spans="1:6" s="15" customFormat="1">
      <c r="A41" s="53"/>
      <c r="B41" s="5"/>
      <c r="C41" s="53"/>
      <c r="D41" s="53"/>
      <c r="E41" s="53"/>
      <c r="F41" s="56"/>
    </row>
    <row r="42" spans="1:6" s="15" customFormat="1">
      <c r="A42" s="53"/>
      <c r="B42" s="5"/>
      <c r="C42" s="53"/>
      <c r="D42" s="53"/>
      <c r="E42" s="53"/>
      <c r="F42" s="56"/>
    </row>
    <row r="43" spans="1:6" s="15" customFormat="1">
      <c r="A43" s="54"/>
      <c r="B43" s="19"/>
      <c r="C43" s="54"/>
      <c r="D43" s="54"/>
      <c r="E43" s="54"/>
      <c r="F43" s="57"/>
    </row>
    <row r="44" spans="1:6" s="15" customFormat="1">
      <c r="A44" s="52"/>
      <c r="B44" s="5"/>
      <c r="C44" s="52"/>
      <c r="D44" s="52"/>
      <c r="E44" s="52"/>
      <c r="F44" s="55">
        <f t="shared" ref="F44" si="9">IF(E44="TEAM KATA",4000,)</f>
        <v>0</v>
      </c>
    </row>
    <row r="45" spans="1:6" s="15" customFormat="1">
      <c r="A45" s="53"/>
      <c r="B45" s="5"/>
      <c r="C45" s="53"/>
      <c r="D45" s="53"/>
      <c r="E45" s="53"/>
      <c r="F45" s="56"/>
    </row>
    <row r="46" spans="1:6" s="15" customFormat="1">
      <c r="A46" s="53"/>
      <c r="B46" s="5"/>
      <c r="C46" s="53"/>
      <c r="D46" s="53"/>
      <c r="E46" s="53"/>
      <c r="F46" s="56"/>
    </row>
    <row r="47" spans="1:6" s="15" customFormat="1">
      <c r="A47" s="54"/>
      <c r="B47" s="19"/>
      <c r="C47" s="54"/>
      <c r="D47" s="54"/>
      <c r="E47" s="54"/>
      <c r="F47" s="57"/>
    </row>
    <row r="48" spans="1:6" s="15" customFormat="1">
      <c r="A48" s="52"/>
      <c r="B48" s="5"/>
      <c r="C48" s="52"/>
      <c r="D48" s="52"/>
      <c r="E48" s="52"/>
      <c r="F48" s="55">
        <f t="shared" ref="F48" si="10">IF(E48="TEAM KATA",4000,)</f>
        <v>0</v>
      </c>
    </row>
    <row r="49" spans="1:6" s="15" customFormat="1">
      <c r="A49" s="53"/>
      <c r="B49" s="5"/>
      <c r="C49" s="53"/>
      <c r="D49" s="53"/>
      <c r="E49" s="53"/>
      <c r="F49" s="56"/>
    </row>
    <row r="50" spans="1:6" s="15" customFormat="1">
      <c r="A50" s="53"/>
      <c r="B50" s="5"/>
      <c r="C50" s="53"/>
      <c r="D50" s="53"/>
      <c r="E50" s="53"/>
      <c r="F50" s="56"/>
    </row>
    <row r="51" spans="1:6" s="15" customFormat="1">
      <c r="A51" s="54"/>
      <c r="B51" s="19"/>
      <c r="C51" s="54"/>
      <c r="D51" s="54"/>
      <c r="E51" s="54"/>
      <c r="F51" s="57"/>
    </row>
    <row r="52" spans="1:6" s="15" customFormat="1">
      <c r="A52" s="52"/>
      <c r="B52" s="5"/>
      <c r="C52" s="52"/>
      <c r="D52" s="52"/>
      <c r="E52" s="52"/>
      <c r="F52" s="55">
        <f t="shared" ref="F52" si="11">IF(E52="TEAM KATA",4000,)</f>
        <v>0</v>
      </c>
    </row>
    <row r="53" spans="1:6" s="15" customFormat="1">
      <c r="A53" s="53"/>
      <c r="B53" s="5"/>
      <c r="C53" s="53"/>
      <c r="D53" s="53"/>
      <c r="E53" s="53"/>
      <c r="F53" s="56"/>
    </row>
    <row r="54" spans="1:6" s="15" customFormat="1">
      <c r="A54" s="53"/>
      <c r="B54" s="5"/>
      <c r="C54" s="53"/>
      <c r="D54" s="53"/>
      <c r="E54" s="53"/>
      <c r="F54" s="56"/>
    </row>
    <row r="55" spans="1:6" s="15" customFormat="1">
      <c r="A55" s="54"/>
      <c r="B55" s="19"/>
      <c r="C55" s="54"/>
      <c r="D55" s="54"/>
      <c r="E55" s="54"/>
      <c r="F55" s="57"/>
    </row>
    <row r="56" spans="1:6" s="15" customFormat="1">
      <c r="A56" s="52"/>
      <c r="B56" s="5"/>
      <c r="C56" s="52"/>
      <c r="D56" s="52"/>
      <c r="E56" s="52"/>
      <c r="F56" s="55">
        <f t="shared" ref="F56" si="12">IF(E56="TEAM KATA",4000,)</f>
        <v>0</v>
      </c>
    </row>
    <row r="57" spans="1:6" s="15" customFormat="1">
      <c r="A57" s="53"/>
      <c r="B57" s="5"/>
      <c r="C57" s="53"/>
      <c r="D57" s="53"/>
      <c r="E57" s="53"/>
      <c r="F57" s="56"/>
    </row>
    <row r="58" spans="1:6" s="15" customFormat="1">
      <c r="A58" s="53"/>
      <c r="B58" s="5"/>
      <c r="C58" s="53"/>
      <c r="D58" s="53"/>
      <c r="E58" s="53"/>
      <c r="F58" s="56"/>
    </row>
    <row r="59" spans="1:6" s="15" customFormat="1">
      <c r="A59" s="54"/>
      <c r="B59" s="19"/>
      <c r="C59" s="54"/>
      <c r="D59" s="54"/>
      <c r="E59" s="54"/>
      <c r="F59" s="57"/>
    </row>
    <row r="60" spans="1:6">
      <c r="A60" s="52"/>
      <c r="B60" s="23"/>
      <c r="C60" s="52"/>
      <c r="D60" s="52"/>
      <c r="E60" s="52"/>
      <c r="F60" s="55">
        <f t="shared" ref="F60" si="13">IF(E60="TEAM KATA",4000,)</f>
        <v>0</v>
      </c>
    </row>
    <row r="61" spans="1:6">
      <c r="A61" s="53"/>
      <c r="B61" s="23"/>
      <c r="C61" s="53"/>
      <c r="D61" s="53"/>
      <c r="E61" s="53"/>
      <c r="F61" s="56"/>
    </row>
    <row r="62" spans="1:6">
      <c r="A62" s="53"/>
      <c r="B62" s="23"/>
      <c r="C62" s="53"/>
      <c r="D62" s="53"/>
      <c r="E62" s="53"/>
      <c r="F62" s="56"/>
    </row>
    <row r="63" spans="1:6">
      <c r="A63" s="54"/>
      <c r="B63" s="19"/>
      <c r="C63" s="54"/>
      <c r="D63" s="54"/>
      <c r="E63" s="54"/>
      <c r="F63" s="57"/>
    </row>
  </sheetData>
  <sheetProtection algorithmName="SHA-512" hashValue="gO6H2IugffW1aVq351zPh7CnawGp1Bm9jhFE5Wc84eDlTq+WhYTmeZobe3jskudDHiwK9n/Gb0cZuR24V4j1Xw==" saltValue="NKKV2hTmFLeFDuQ6MehxIA==" spinCount="100000" sheet="1" insertRows="0" selectLockedCells="1" sort="0" autoFilter="0"/>
  <mergeCells count="77">
    <mergeCell ref="A32:A35"/>
    <mergeCell ref="E32:E35"/>
    <mergeCell ref="F32:F35"/>
    <mergeCell ref="A36:A39"/>
    <mergeCell ref="E36:E39"/>
    <mergeCell ref="F36:F39"/>
    <mergeCell ref="C32:C35"/>
    <mergeCell ref="D32:D35"/>
    <mergeCell ref="C36:C39"/>
    <mergeCell ref="D36:D39"/>
    <mergeCell ref="A24:A27"/>
    <mergeCell ref="E24:E27"/>
    <mergeCell ref="F24:F27"/>
    <mergeCell ref="A28:A31"/>
    <mergeCell ref="E28:E31"/>
    <mergeCell ref="F28:F31"/>
    <mergeCell ref="C24:C27"/>
    <mergeCell ref="D24:D27"/>
    <mergeCell ref="C28:C31"/>
    <mergeCell ref="D28:D31"/>
    <mergeCell ref="A1:F1"/>
    <mergeCell ref="A2:F2"/>
    <mergeCell ref="A4:A7"/>
    <mergeCell ref="E4:E7"/>
    <mergeCell ref="F4:F7"/>
    <mergeCell ref="D4:D7"/>
    <mergeCell ref="C4:C7"/>
    <mergeCell ref="A8:A11"/>
    <mergeCell ref="E8:E11"/>
    <mergeCell ref="F8:F11"/>
    <mergeCell ref="A12:A15"/>
    <mergeCell ref="E12:E15"/>
    <mergeCell ref="F12:F15"/>
    <mergeCell ref="D8:D11"/>
    <mergeCell ref="C8:C11"/>
    <mergeCell ref="D12:D15"/>
    <mergeCell ref="C12:C15"/>
    <mergeCell ref="A16:A19"/>
    <mergeCell ref="E16:E19"/>
    <mergeCell ref="F16:F19"/>
    <mergeCell ref="A20:A23"/>
    <mergeCell ref="E20:E23"/>
    <mergeCell ref="F20:F23"/>
    <mergeCell ref="D16:D19"/>
    <mergeCell ref="C16:C19"/>
    <mergeCell ref="D20:D23"/>
    <mergeCell ref="C20:C23"/>
    <mergeCell ref="E40:E43"/>
    <mergeCell ref="F40:F43"/>
    <mergeCell ref="A44:A47"/>
    <mergeCell ref="E44:E47"/>
    <mergeCell ref="F44:F47"/>
    <mergeCell ref="A40:A43"/>
    <mergeCell ref="C40:C43"/>
    <mergeCell ref="D40:D43"/>
    <mergeCell ref="C44:C47"/>
    <mergeCell ref="D44:D47"/>
    <mergeCell ref="A48:A51"/>
    <mergeCell ref="E48:E51"/>
    <mergeCell ref="F48:F51"/>
    <mergeCell ref="A52:A55"/>
    <mergeCell ref="E52:E55"/>
    <mergeCell ref="F52:F55"/>
    <mergeCell ref="C48:C51"/>
    <mergeCell ref="D48:D51"/>
    <mergeCell ref="C52:C55"/>
    <mergeCell ref="D52:D55"/>
    <mergeCell ref="A56:A59"/>
    <mergeCell ref="E56:E59"/>
    <mergeCell ref="F56:F59"/>
    <mergeCell ref="A60:A63"/>
    <mergeCell ref="E60:E63"/>
    <mergeCell ref="F60:F63"/>
    <mergeCell ref="C56:C59"/>
    <mergeCell ref="D56:D59"/>
    <mergeCell ref="C60:C63"/>
    <mergeCell ref="D60:D63"/>
  </mergeCells>
  <dataValidations count="4">
    <dataValidation type="list" allowBlank="1" showInputMessage="1" showErrorMessage="1" sqref="B15" xr:uid="{E60095F0-1310-4F03-A009-23E70FFA7180}">
      <formula1>"Blank,TEAM KUMITE"</formula1>
    </dataValidation>
    <dataValidation type="list" allowBlank="1" showInputMessage="1" showErrorMessage="1" sqref="E4:E63" xr:uid="{55F55A6C-B70B-400F-9EEA-6F0EBA69A493}">
      <formula1>"Blank,TEAM KATA"</formula1>
    </dataValidation>
    <dataValidation type="list" allowBlank="1" showInputMessage="1" showErrorMessage="1" sqref="C4:C63" xr:uid="{BE82A3C7-93E0-4ABB-9DE2-4A36CABC10B0}">
      <formula1>"Age 14-17,Senior"</formula1>
    </dataValidation>
    <dataValidation type="list" allowBlank="1" showInputMessage="1" showErrorMessage="1" sqref="D4:D63" xr:uid="{A6875BAE-70A7-43F7-ABBC-6C5197AF8267}">
      <formula1>"Male,Female"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</vt:lpstr>
      <vt:lpstr>T-Kata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samith dissanayaka</dc:creator>
  <cp:lastModifiedBy>samith dissanayaka</cp:lastModifiedBy>
  <dcterms:created xsi:type="dcterms:W3CDTF">2026-01-27T18:06:21Z</dcterms:created>
  <dcterms:modified xsi:type="dcterms:W3CDTF">2026-05-07T18:49:09Z</dcterms:modified>
</cp:coreProperties>
</file>